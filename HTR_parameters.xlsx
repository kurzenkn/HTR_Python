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kur\Documents\USC\Research\High Throughput Reactor\HTR Python\"/>
    </mc:Choice>
  </mc:AlternateContent>
  <xr:revisionPtr revIDLastSave="0" documentId="13_ncr:1_{ECCB97B4-8361-419D-AA14-CBBE9F522DE6}" xr6:coauthVersionLast="47" xr6:coauthVersionMax="47" xr10:uidLastSave="{00000000-0000-0000-0000-000000000000}"/>
  <bookViews>
    <workbookView xWindow="-108" yWindow="-108" windowWidth="23256" windowHeight="12576" activeTab="4" xr2:uid="{825EB3FA-3E87-4874-8F9B-DF97B39FEFA5}"/>
  </bookViews>
  <sheets>
    <sheet name="Unknown Variables " sheetId="1" r:id="rId1"/>
    <sheet name="Indexing" sheetId="2" r:id="rId2"/>
    <sheet name="Resistor Parameters" sheetId="3" r:id="rId3"/>
    <sheet name="Input" sheetId="4" r:id="rId4"/>
    <sheet name="Check Valve 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5" l="1"/>
  <c r="C22" i="5"/>
  <c r="C23" i="5"/>
  <c r="C21" i="5"/>
  <c r="C19" i="5"/>
  <c r="C20" i="5"/>
  <c r="C18" i="5"/>
  <c r="C16" i="5"/>
  <c r="C17" i="5"/>
  <c r="B20" i="5"/>
  <c r="B23" i="5"/>
  <c r="B17" i="5"/>
  <c r="B19" i="5"/>
  <c r="B22" i="5"/>
  <c r="B16" i="5"/>
  <c r="B18" i="5"/>
  <c r="B21" i="5"/>
  <c r="B15" i="5"/>
  <c r="F10" i="5"/>
  <c r="F11" i="5"/>
  <c r="F9" i="5"/>
  <c r="E10" i="5"/>
  <c r="E11" i="5"/>
  <c r="E9" i="5"/>
  <c r="D10" i="5"/>
  <c r="D11" i="5"/>
  <c r="D9" i="5"/>
  <c r="C10" i="5"/>
  <c r="C11" i="5"/>
  <c r="C9" i="5"/>
  <c r="I4" i="3"/>
  <c r="H4" i="3"/>
  <c r="D19" i="3"/>
  <c r="D18" i="3"/>
  <c r="D17" i="3"/>
  <c r="D20" i="3"/>
  <c r="D14" i="3"/>
  <c r="D15" i="3"/>
  <c r="D16" i="3"/>
  <c r="D13" i="3"/>
  <c r="D7" i="3"/>
  <c r="D8" i="3"/>
  <c r="D9" i="3"/>
  <c r="D6" i="3"/>
  <c r="D10" i="3"/>
  <c r="D12" i="3"/>
  <c r="D11" i="3"/>
  <c r="D4" i="3"/>
  <c r="D5" i="3"/>
  <c r="D3" i="3"/>
  <c r="I3" i="3" s="1"/>
  <c r="J3" i="3" s="1"/>
  <c r="P8" i="3"/>
  <c r="P7" i="3"/>
  <c r="Q25" i="3"/>
  <c r="P25" i="3"/>
  <c r="I17" i="3"/>
  <c r="O21" i="3"/>
  <c r="H5" i="3"/>
  <c r="H6" i="3"/>
  <c r="I6" i="3" s="1"/>
  <c r="H7" i="3"/>
  <c r="H8" i="3"/>
  <c r="H9" i="3"/>
  <c r="H10" i="3"/>
  <c r="I10" i="3" s="1"/>
  <c r="J10" i="3" s="1"/>
  <c r="H11" i="3"/>
  <c r="I11" i="3" s="1"/>
  <c r="H12" i="3"/>
  <c r="I12" i="3" s="1"/>
  <c r="H13" i="3"/>
  <c r="H14" i="3"/>
  <c r="I14" i="3" s="1"/>
  <c r="H15" i="3"/>
  <c r="I15" i="3" s="1"/>
  <c r="H16" i="3"/>
  <c r="I16" i="3" s="1"/>
  <c r="H17" i="3"/>
  <c r="H18" i="3"/>
  <c r="H19" i="3"/>
  <c r="H20" i="3"/>
  <c r="O20" i="3" s="1"/>
  <c r="O22" i="3" s="1"/>
  <c r="H3" i="3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17" i="2"/>
  <c r="F18" i="3"/>
  <c r="F19" i="3"/>
  <c r="F20" i="3"/>
  <c r="F17" i="3"/>
  <c r="F11" i="3"/>
  <c r="F12" i="3"/>
  <c r="F13" i="3"/>
  <c r="F14" i="3"/>
  <c r="F15" i="3"/>
  <c r="F16" i="3"/>
  <c r="F10" i="3"/>
  <c r="F4" i="3"/>
  <c r="F5" i="3"/>
  <c r="F6" i="3"/>
  <c r="F7" i="3"/>
  <c r="F8" i="3"/>
  <c r="F9" i="3"/>
  <c r="F3" i="3"/>
  <c r="I18" i="3" l="1"/>
  <c r="I19" i="3"/>
  <c r="I5" i="3"/>
  <c r="I13" i="3"/>
  <c r="I9" i="3"/>
  <c r="I8" i="3"/>
  <c r="I7" i="3"/>
  <c r="I20" i="3"/>
  <c r="R22" i="3" s="1"/>
</calcChain>
</file>

<file path=xl/sharedStrings.xml><?xml version="1.0" encoding="utf-8"?>
<sst xmlns="http://schemas.openxmlformats.org/spreadsheetml/2006/main" count="276" uniqueCount="130">
  <si>
    <t>P01</t>
  </si>
  <si>
    <t>P02</t>
  </si>
  <si>
    <t>Pf</t>
  </si>
  <si>
    <t>Pressures</t>
  </si>
  <si>
    <t>Resistor</t>
  </si>
  <si>
    <t>Rc1</t>
  </si>
  <si>
    <t>Rc2</t>
  </si>
  <si>
    <t>R11</t>
  </si>
  <si>
    <t>R12</t>
  </si>
  <si>
    <t>R21</t>
  </si>
  <si>
    <t>R31</t>
  </si>
  <si>
    <t>R22</t>
  </si>
  <si>
    <t>R32</t>
  </si>
  <si>
    <t>R41</t>
  </si>
  <si>
    <t>R51</t>
  </si>
  <si>
    <t>R61</t>
  </si>
  <si>
    <t>R71</t>
  </si>
  <si>
    <t>R42</t>
  </si>
  <si>
    <t>R52</t>
  </si>
  <si>
    <t>R62</t>
  </si>
  <si>
    <t>R72</t>
  </si>
  <si>
    <t>R8</t>
  </si>
  <si>
    <t>R9</t>
  </si>
  <si>
    <t>R10</t>
  </si>
  <si>
    <t>R11'</t>
  </si>
  <si>
    <t>Branch 1</t>
  </si>
  <si>
    <t>Branch 2</t>
  </si>
  <si>
    <t>Output</t>
  </si>
  <si>
    <t>Resistors</t>
  </si>
  <si>
    <t>P11</t>
  </si>
  <si>
    <t>P21</t>
  </si>
  <si>
    <t>P31</t>
  </si>
  <si>
    <t>P12</t>
  </si>
  <si>
    <t>P22</t>
  </si>
  <si>
    <t>P32</t>
  </si>
  <si>
    <t>P4</t>
  </si>
  <si>
    <t>P5</t>
  </si>
  <si>
    <t>P6</t>
  </si>
  <si>
    <t>P7</t>
  </si>
  <si>
    <t>Flow Rates</t>
  </si>
  <si>
    <t>Q11</t>
  </si>
  <si>
    <t>Q21</t>
  </si>
  <si>
    <t>Q31</t>
  </si>
  <si>
    <t>Q41</t>
  </si>
  <si>
    <t>Q51</t>
  </si>
  <si>
    <t>Q61</t>
  </si>
  <si>
    <t>Q71</t>
  </si>
  <si>
    <t>Q12</t>
  </si>
  <si>
    <t>Q22</t>
  </si>
  <si>
    <t>Q32</t>
  </si>
  <si>
    <t>Q42</t>
  </si>
  <si>
    <t>Q52</t>
  </si>
  <si>
    <t>Q62</t>
  </si>
  <si>
    <t>Q72</t>
  </si>
  <si>
    <t>Q8</t>
  </si>
  <si>
    <t>Q9</t>
  </si>
  <si>
    <t>Q10</t>
  </si>
  <si>
    <t>Q11'</t>
  </si>
  <si>
    <t>Pressure</t>
  </si>
  <si>
    <t>Index</t>
  </si>
  <si>
    <t>Flow Rate</t>
  </si>
  <si>
    <t>Solution #1:</t>
  </si>
  <si>
    <t>Solution #2:</t>
  </si>
  <si>
    <t>Combined:</t>
  </si>
  <si>
    <t>User Defined Resistors</t>
  </si>
  <si>
    <t>User Defined Resistor Values</t>
  </si>
  <si>
    <t xml:space="preserve">L </t>
  </si>
  <si>
    <t>R</t>
  </si>
  <si>
    <t>A</t>
  </si>
  <si>
    <t>Variable</t>
  </si>
  <si>
    <t>R index + 13</t>
  </si>
  <si>
    <t>Index =&gt;</t>
  </si>
  <si>
    <t>Reservoir</t>
  </si>
  <si>
    <t>Initial P</t>
  </si>
  <si>
    <t>#1</t>
  </si>
  <si>
    <t>#2</t>
  </si>
  <si>
    <t>### IMPLEMENTATION IDEA: Create list of indices for target variable and corresponding</t>
  </si>
  <si>
    <t>#                        list with the equation (row) number. Use a loop number for</t>
  </si>
  <si>
    <t>#                        the proper indexing.</t>
  </si>
  <si>
    <t>Matrix Indexing in Python Code</t>
  </si>
  <si>
    <t>mbar</t>
  </si>
  <si>
    <t>Pa*s</t>
  </si>
  <si>
    <t>mm</t>
  </si>
  <si>
    <t>d</t>
  </si>
  <si>
    <t>um</t>
  </si>
  <si>
    <t>m^2</t>
  </si>
  <si>
    <t>kg/(m^4s)</t>
  </si>
  <si>
    <t>Pa*s/m^3</t>
  </si>
  <si>
    <t>m^3/s</t>
  </si>
  <si>
    <t xml:space="preserve">Pa </t>
  </si>
  <si>
    <t>=&gt;</t>
  </si>
  <si>
    <t>Rh</t>
  </si>
  <si>
    <t>Q</t>
  </si>
  <si>
    <r>
      <rPr>
        <sz val="11"/>
        <color theme="1"/>
        <rFont val="Calibri"/>
        <family val="2"/>
      </rPr>
      <t>Δ</t>
    </r>
    <r>
      <rPr>
        <sz val="11"/>
        <color theme="1"/>
        <rFont val="Aptos Narrow"/>
        <family val="2"/>
      </rPr>
      <t>P</t>
    </r>
    <r>
      <rPr>
        <vertAlign val="subscript"/>
        <sz val="11"/>
        <color theme="1"/>
        <rFont val="Aptos Narrow"/>
        <family val="2"/>
      </rPr>
      <t>est</t>
    </r>
  </si>
  <si>
    <t>mL/min</t>
  </si>
  <si>
    <t>Gpa*s/m^3</t>
  </si>
  <si>
    <t>Gpa*s/m^4</t>
  </si>
  <si>
    <t>###UNITS CONVERTED IN THE PYTHON CODE</t>
  </si>
  <si>
    <t>Matrix Indexing for Reduced System</t>
  </si>
  <si>
    <t>Pinter</t>
  </si>
  <si>
    <t>Q1</t>
  </si>
  <si>
    <t>Q2</t>
  </si>
  <si>
    <t>Qout</t>
  </si>
  <si>
    <t>rho</t>
  </si>
  <si>
    <t>g</t>
  </si>
  <si>
    <t>h</t>
  </si>
  <si>
    <t>term</t>
  </si>
  <si>
    <t>Eta</t>
  </si>
  <si>
    <t>m</t>
  </si>
  <si>
    <t>kg/m^3</t>
  </si>
  <si>
    <t>m/s^2</t>
  </si>
  <si>
    <t>Rho</t>
  </si>
  <si>
    <t>Changes in Height</t>
  </si>
  <si>
    <t>dh_in</t>
  </si>
  <si>
    <t>dh_out</t>
  </si>
  <si>
    <t>@ 20 C</t>
  </si>
  <si>
    <t>@22 C</t>
  </si>
  <si>
    <t>@25 C</t>
  </si>
  <si>
    <t>P (mbar)</t>
  </si>
  <si>
    <t>V (mL)</t>
  </si>
  <si>
    <t>Time (sec)</t>
  </si>
  <si>
    <t>RAW DATA FOR CHECK VALVE #1</t>
  </si>
  <si>
    <t>Measured Flow Rate</t>
  </si>
  <si>
    <t>Rep. 1</t>
  </si>
  <si>
    <t xml:space="preserve">Rep. 2 </t>
  </si>
  <si>
    <t>Rep. 3</t>
  </si>
  <si>
    <t>AVG.</t>
  </si>
  <si>
    <t>Plot Data</t>
  </si>
  <si>
    <t>P (Pa)</t>
  </si>
  <si>
    <t>Q (m^3/s)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</si>
</sst>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8000000000000007"/>
      <color rgb="FF7A7E85"/>
      <name val="JetBrains Mono"/>
      <family val="3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quotePrefix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vertical="center"/>
    </xf>
    <xf numFmtId="11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quotePrefix="1" applyAlignment="1">
      <alignment horizontal="center"/>
    </xf>
    <xf numFmtId="0" fontId="7" fillId="0" borderId="0" xfId="0" applyFont="1"/>
    <xf numFmtId="0" fontId="7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 vs 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'Check Valve R'!$C$14</c:f>
              <c:strCache>
                <c:ptCount val="1"/>
                <c:pt idx="0">
                  <c:v>Q (m^3/s)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157917760279965E-2"/>
                  <c:y val="2.16231321815462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'Check Valve R'!$B$15:$B$23</c:f>
              <c:numCache>
                <c:formatCode>General</c:formatCode>
                <c:ptCount val="9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10000</c:v>
                </c:pt>
                <c:pt idx="4">
                  <c:v>15000</c:v>
                </c:pt>
                <c:pt idx="5">
                  <c:v>20000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</c:numCache>
            </c:numRef>
          </c:xVal>
          <c:yVal>
            <c:numRef>
              <c:f>'Check Valve R'!$C$15:$C$23</c:f>
              <c:numCache>
                <c:formatCode>General</c:formatCode>
                <c:ptCount val="9"/>
                <c:pt idx="0">
                  <c:v>2.8776978417266184E-7</c:v>
                </c:pt>
                <c:pt idx="1">
                  <c:v>4.4444444444444444E-7</c:v>
                </c:pt>
                <c:pt idx="2">
                  <c:v>5.9701492537313431E-7</c:v>
                </c:pt>
                <c:pt idx="3">
                  <c:v>2.9498525073746309E-7</c:v>
                </c:pt>
                <c:pt idx="4">
                  <c:v>4.1994750656167978E-7</c:v>
                </c:pt>
                <c:pt idx="5">
                  <c:v>5.7971014492753622E-7</c:v>
                </c:pt>
                <c:pt idx="6">
                  <c:v>2.8673835125448029E-7</c:v>
                </c:pt>
                <c:pt idx="7">
                  <c:v>4.2194092827004216E-7</c:v>
                </c:pt>
                <c:pt idx="8">
                  <c:v>5.7553956834532368E-7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76-4AC2-ACE7-867964F87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63136"/>
        <c:axId val="58125536"/>
      </c:scatterChart>
      <c:valAx>
        <c:axId val="20866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5536"/>
        <c:crosses val="autoZero"/>
        <c:crossBetween val="midCat"/>
      </c:valAx>
      <c:valAx>
        <c:axId val="581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(m^3/s)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396240</xdr:colOff>
      <xdr:row>3</xdr:row>
      <xdr:rowOff>75247</xdr:rowOff>
    </xdr:from>
    <xdr:to>
      <xdr:col>17</xdr:col>
      <xdr:colOff>91440</xdr:colOff>
      <xdr:row>18</xdr:row>
      <xdr:rowOff>101917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1E424-CBF3-F572-D63B-122CE6B55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2042-2BE4-4F5B-8230-AD3942C9638C}">
  <dimension ref="B2:L11"/>
  <sheetViews>
    <sheetView workbookViewId="0">
      <selection activeCell="H15" sqref="H15"/>
    </sheetView>
  </sheetViews>
  <sheetFormatPr defaultRowHeight="14.4"/>
  <cols>
    <col min="2" max="2" width="8.88671875" customWidth="1"/>
  </cols>
  <sheetData>
    <row r="2" spans="2:12">
      <c r="C2" s="2" t="s">
        <v>28</v>
      </c>
      <c r="G2" s="2" t="s">
        <v>3</v>
      </c>
      <c r="K2" s="2" t="s">
        <v>39</v>
      </c>
    </row>
    <row r="3" spans="2:12">
      <c r="B3" s="1" t="s">
        <v>25</v>
      </c>
      <c r="C3" s="1" t="s">
        <v>26</v>
      </c>
      <c r="D3" s="1" t="s">
        <v>27</v>
      </c>
      <c r="F3" s="1" t="s">
        <v>25</v>
      </c>
      <c r="G3" s="1" t="s">
        <v>26</v>
      </c>
      <c r="H3" s="1" t="s">
        <v>27</v>
      </c>
      <c r="J3" s="1" t="s">
        <v>25</v>
      </c>
      <c r="K3" s="1" t="s">
        <v>26</v>
      </c>
      <c r="L3" s="1" t="s">
        <v>27</v>
      </c>
    </row>
    <row r="4" spans="2:12">
      <c r="B4" t="s">
        <v>5</v>
      </c>
      <c r="C4" t="s">
        <v>6</v>
      </c>
      <c r="D4" t="s">
        <v>21</v>
      </c>
      <c r="F4" t="s">
        <v>0</v>
      </c>
      <c r="G4" t="s">
        <v>1</v>
      </c>
      <c r="H4" t="s">
        <v>35</v>
      </c>
      <c r="J4" t="s">
        <v>40</v>
      </c>
      <c r="K4" t="s">
        <v>47</v>
      </c>
      <c r="L4" t="s">
        <v>54</v>
      </c>
    </row>
    <row r="5" spans="2:12">
      <c r="B5" t="s">
        <v>7</v>
      </c>
      <c r="C5" t="s">
        <v>8</v>
      </c>
      <c r="D5" t="s">
        <v>22</v>
      </c>
      <c r="F5" t="s">
        <v>29</v>
      </c>
      <c r="G5" t="s">
        <v>32</v>
      </c>
      <c r="H5" t="s">
        <v>36</v>
      </c>
      <c r="J5" t="s">
        <v>41</v>
      </c>
      <c r="K5" t="s">
        <v>48</v>
      </c>
      <c r="L5" t="s">
        <v>55</v>
      </c>
    </row>
    <row r="6" spans="2:12">
      <c r="B6" t="s">
        <v>9</v>
      </c>
      <c r="C6" t="s">
        <v>11</v>
      </c>
      <c r="D6" t="s">
        <v>23</v>
      </c>
      <c r="F6" t="s">
        <v>30</v>
      </c>
      <c r="G6" t="s">
        <v>33</v>
      </c>
      <c r="H6" t="s">
        <v>37</v>
      </c>
      <c r="J6" t="s">
        <v>42</v>
      </c>
      <c r="K6" t="s">
        <v>49</v>
      </c>
      <c r="L6" t="s">
        <v>56</v>
      </c>
    </row>
    <row r="7" spans="2:12">
      <c r="B7" t="s">
        <v>10</v>
      </c>
      <c r="C7" t="s">
        <v>12</v>
      </c>
      <c r="D7" t="s">
        <v>24</v>
      </c>
      <c r="F7" t="s">
        <v>31</v>
      </c>
      <c r="G7" t="s">
        <v>34</v>
      </c>
      <c r="H7" t="s">
        <v>38</v>
      </c>
      <c r="J7" t="s">
        <v>43</v>
      </c>
      <c r="K7" t="s">
        <v>50</v>
      </c>
      <c r="L7" t="s">
        <v>57</v>
      </c>
    </row>
    <row r="8" spans="2:12">
      <c r="B8" t="s">
        <v>13</v>
      </c>
      <c r="C8" t="s">
        <v>17</v>
      </c>
      <c r="H8" t="s">
        <v>2</v>
      </c>
      <c r="J8" t="s">
        <v>44</v>
      </c>
      <c r="K8" t="s">
        <v>51</v>
      </c>
    </row>
    <row r="9" spans="2:12">
      <c r="B9" t="s">
        <v>14</v>
      </c>
      <c r="C9" t="s">
        <v>18</v>
      </c>
      <c r="J9" t="s">
        <v>45</v>
      </c>
      <c r="K9" t="s">
        <v>52</v>
      </c>
    </row>
    <row r="10" spans="2:12">
      <c r="B10" t="s">
        <v>15</v>
      </c>
      <c r="C10" t="s">
        <v>19</v>
      </c>
      <c r="J10" t="s">
        <v>46</v>
      </c>
      <c r="K10" t="s">
        <v>53</v>
      </c>
    </row>
    <row r="11" spans="2:12">
      <c r="B11" t="s">
        <v>16</v>
      </c>
      <c r="C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EA80-3C3F-46EE-BFFB-390486A510D3}">
  <dimension ref="B2:V34"/>
  <sheetViews>
    <sheetView workbookViewId="0">
      <selection activeCell="H17" sqref="H17"/>
    </sheetView>
  </sheetViews>
  <sheetFormatPr defaultRowHeight="14.4"/>
  <sheetData>
    <row r="2" spans="2:22">
      <c r="B2" s="1" t="s">
        <v>59</v>
      </c>
      <c r="C2" s="1" t="s">
        <v>58</v>
      </c>
      <c r="E2" s="1" t="s">
        <v>59</v>
      </c>
      <c r="F2" s="1" t="s">
        <v>60</v>
      </c>
      <c r="H2" s="1" t="s">
        <v>59</v>
      </c>
      <c r="I2" s="1" t="s">
        <v>4</v>
      </c>
      <c r="K2" s="1" t="s">
        <v>64</v>
      </c>
      <c r="N2" s="1" t="s">
        <v>79</v>
      </c>
    </row>
    <row r="3" spans="2:22">
      <c r="B3" s="3">
        <v>0</v>
      </c>
      <c r="C3" s="3" t="s">
        <v>0</v>
      </c>
      <c r="E3" s="3">
        <v>0</v>
      </c>
      <c r="F3" s="3" t="s">
        <v>40</v>
      </c>
      <c r="H3" s="3">
        <v>0</v>
      </c>
      <c r="I3" t="s">
        <v>7</v>
      </c>
      <c r="K3" t="s">
        <v>5</v>
      </c>
      <c r="N3" s="1" t="s">
        <v>59</v>
      </c>
      <c r="O3" s="1" t="s">
        <v>69</v>
      </c>
      <c r="R3" s="13" t="s">
        <v>76</v>
      </c>
    </row>
    <row r="4" spans="2:22">
      <c r="B4" s="3">
        <v>1</v>
      </c>
      <c r="C4" s="3" t="s">
        <v>29</v>
      </c>
      <c r="E4" s="3">
        <v>1</v>
      </c>
      <c r="F4" s="3" t="s">
        <v>41</v>
      </c>
      <c r="H4" s="3">
        <v>1</v>
      </c>
      <c r="I4" t="s">
        <v>9</v>
      </c>
      <c r="K4" t="s">
        <v>6</v>
      </c>
      <c r="N4" s="4">
        <v>0</v>
      </c>
      <c r="O4" s="5" t="s">
        <v>0</v>
      </c>
      <c r="R4" s="13" t="s">
        <v>77</v>
      </c>
    </row>
    <row r="5" spans="2:22">
      <c r="B5" s="3">
        <v>2</v>
      </c>
      <c r="C5" s="3" t="s">
        <v>30</v>
      </c>
      <c r="E5" s="3">
        <v>2</v>
      </c>
      <c r="F5" s="3" t="s">
        <v>42</v>
      </c>
      <c r="H5" s="3">
        <v>2</v>
      </c>
      <c r="I5" t="s">
        <v>10</v>
      </c>
      <c r="N5" s="4">
        <v>1</v>
      </c>
      <c r="O5" s="5" t="s">
        <v>29</v>
      </c>
      <c r="R5" s="13" t="s">
        <v>78</v>
      </c>
    </row>
    <row r="6" spans="2:22">
      <c r="B6" s="3">
        <v>3</v>
      </c>
      <c r="C6" s="3" t="s">
        <v>31</v>
      </c>
      <c r="E6" s="3">
        <v>3</v>
      </c>
      <c r="F6" s="3" t="s">
        <v>43</v>
      </c>
      <c r="H6" s="3">
        <v>3</v>
      </c>
      <c r="I6" t="s">
        <v>13</v>
      </c>
      <c r="N6" s="4">
        <v>2</v>
      </c>
      <c r="O6" s="5" t="s">
        <v>30</v>
      </c>
    </row>
    <row r="7" spans="2:22">
      <c r="B7" s="3">
        <v>4</v>
      </c>
      <c r="C7" s="3" t="s">
        <v>1</v>
      </c>
      <c r="E7" s="3">
        <v>4</v>
      </c>
      <c r="F7" s="3" t="s">
        <v>44</v>
      </c>
      <c r="H7" s="3">
        <v>4</v>
      </c>
      <c r="I7" t="s">
        <v>14</v>
      </c>
      <c r="N7" s="9">
        <v>3</v>
      </c>
      <c r="O7" s="10" t="s">
        <v>31</v>
      </c>
    </row>
    <row r="8" spans="2:22">
      <c r="B8" s="3">
        <v>5</v>
      </c>
      <c r="C8" s="3" t="s">
        <v>32</v>
      </c>
      <c r="E8" s="3">
        <v>5</v>
      </c>
      <c r="F8" s="3" t="s">
        <v>45</v>
      </c>
      <c r="H8" s="3">
        <v>5</v>
      </c>
      <c r="I8" t="s">
        <v>15</v>
      </c>
      <c r="N8" s="4">
        <v>4</v>
      </c>
      <c r="O8" s="5" t="s">
        <v>1</v>
      </c>
    </row>
    <row r="9" spans="2:22">
      <c r="B9" s="3">
        <v>6</v>
      </c>
      <c r="C9" s="3" t="s">
        <v>33</v>
      </c>
      <c r="E9" s="3">
        <v>6</v>
      </c>
      <c r="F9" s="3" t="s">
        <v>46</v>
      </c>
      <c r="H9" s="3">
        <v>6</v>
      </c>
      <c r="I9" t="s">
        <v>16</v>
      </c>
      <c r="N9" s="4">
        <v>5</v>
      </c>
      <c r="O9" s="5" t="s">
        <v>32</v>
      </c>
      <c r="U9" s="1" t="s">
        <v>98</v>
      </c>
    </row>
    <row r="10" spans="2:22">
      <c r="B10" s="3">
        <v>7</v>
      </c>
      <c r="C10" s="3" t="s">
        <v>34</v>
      </c>
      <c r="E10" s="3">
        <v>7</v>
      </c>
      <c r="F10" s="3" t="s">
        <v>47</v>
      </c>
      <c r="H10" s="3">
        <v>7</v>
      </c>
      <c r="I10" t="s">
        <v>8</v>
      </c>
      <c r="N10" s="4">
        <v>6</v>
      </c>
      <c r="O10" s="5" t="s">
        <v>33</v>
      </c>
      <c r="U10" s="1" t="s">
        <v>59</v>
      </c>
      <c r="V10" s="1" t="s">
        <v>69</v>
      </c>
    </row>
    <row r="11" spans="2:22">
      <c r="B11" s="3">
        <v>8</v>
      </c>
      <c r="C11" s="3" t="s">
        <v>35</v>
      </c>
      <c r="E11" s="3">
        <v>8</v>
      </c>
      <c r="F11" s="3" t="s">
        <v>48</v>
      </c>
      <c r="H11" s="3">
        <v>8</v>
      </c>
      <c r="I11" t="s">
        <v>11</v>
      </c>
      <c r="N11" s="9">
        <v>7</v>
      </c>
      <c r="O11" s="10" t="s">
        <v>34</v>
      </c>
      <c r="U11" s="4">
        <v>0</v>
      </c>
      <c r="V11" s="5" t="s">
        <v>0</v>
      </c>
    </row>
    <row r="12" spans="2:22">
      <c r="B12" s="3">
        <v>9</v>
      </c>
      <c r="C12" s="3" t="s">
        <v>36</v>
      </c>
      <c r="E12" s="3">
        <v>9</v>
      </c>
      <c r="F12" s="3" t="s">
        <v>49</v>
      </c>
      <c r="H12" s="3">
        <v>9</v>
      </c>
      <c r="I12" t="s">
        <v>12</v>
      </c>
      <c r="N12" s="4">
        <v>8</v>
      </c>
      <c r="O12" s="5" t="s">
        <v>35</v>
      </c>
      <c r="U12" s="4">
        <v>1</v>
      </c>
      <c r="V12" s="5" t="s">
        <v>1</v>
      </c>
    </row>
    <row r="13" spans="2:22">
      <c r="B13" s="3">
        <v>10</v>
      </c>
      <c r="C13" s="3" t="s">
        <v>37</v>
      </c>
      <c r="E13" s="3">
        <v>10</v>
      </c>
      <c r="F13" s="3" t="s">
        <v>50</v>
      </c>
      <c r="H13" s="3">
        <v>10</v>
      </c>
      <c r="I13" t="s">
        <v>17</v>
      </c>
      <c r="N13" s="4">
        <v>9</v>
      </c>
      <c r="O13" s="5" t="s">
        <v>36</v>
      </c>
      <c r="U13" s="4">
        <v>2</v>
      </c>
      <c r="V13" s="5" t="s">
        <v>99</v>
      </c>
    </row>
    <row r="14" spans="2:22">
      <c r="B14" s="3">
        <v>11</v>
      </c>
      <c r="C14" s="3" t="s">
        <v>38</v>
      </c>
      <c r="E14" s="3">
        <v>11</v>
      </c>
      <c r="F14" s="3" t="s">
        <v>51</v>
      </c>
      <c r="H14" s="3">
        <v>11</v>
      </c>
      <c r="I14" t="s">
        <v>18</v>
      </c>
      <c r="N14" s="4">
        <v>10</v>
      </c>
      <c r="O14" s="5" t="s">
        <v>37</v>
      </c>
      <c r="U14" s="9">
        <v>3</v>
      </c>
      <c r="V14" s="10" t="s">
        <v>2</v>
      </c>
    </row>
    <row r="15" spans="2:22">
      <c r="B15" s="3">
        <v>12</v>
      </c>
      <c r="C15" s="3" t="s">
        <v>2</v>
      </c>
      <c r="E15" s="3">
        <v>12</v>
      </c>
      <c r="F15" s="3" t="s">
        <v>52</v>
      </c>
      <c r="H15" s="3">
        <v>12</v>
      </c>
      <c r="I15" t="s">
        <v>19</v>
      </c>
      <c r="N15" s="9">
        <v>11</v>
      </c>
      <c r="O15" s="10" t="s">
        <v>38</v>
      </c>
      <c r="U15" s="6">
        <v>4</v>
      </c>
      <c r="V15" s="7" t="s">
        <v>100</v>
      </c>
    </row>
    <row r="16" spans="2:22">
      <c r="E16" s="3">
        <v>13</v>
      </c>
      <c r="F16" s="3" t="s">
        <v>53</v>
      </c>
      <c r="H16" s="3">
        <v>13</v>
      </c>
      <c r="I16" t="s">
        <v>20</v>
      </c>
      <c r="N16" s="9">
        <v>12</v>
      </c>
      <c r="O16" s="10" t="s">
        <v>2</v>
      </c>
      <c r="U16" s="6">
        <v>5</v>
      </c>
      <c r="V16" s="7" t="s">
        <v>101</v>
      </c>
    </row>
    <row r="17" spans="5:22">
      <c r="E17" s="3">
        <v>14</v>
      </c>
      <c r="F17" s="3" t="s">
        <v>54</v>
      </c>
      <c r="H17" s="3">
        <v>14</v>
      </c>
      <c r="I17" t="s">
        <v>21</v>
      </c>
      <c r="N17" s="6">
        <v>13</v>
      </c>
      <c r="O17" s="7" t="s">
        <v>40</v>
      </c>
      <c r="P17">
        <f>N17-H3</f>
        <v>13</v>
      </c>
      <c r="Q17" s="8" t="s">
        <v>71</v>
      </c>
      <c r="R17" t="s">
        <v>70</v>
      </c>
      <c r="U17" s="6">
        <v>6</v>
      </c>
      <c r="V17" s="7" t="s">
        <v>102</v>
      </c>
    </row>
    <row r="18" spans="5:22">
      <c r="E18" s="3">
        <v>15</v>
      </c>
      <c r="F18" s="3" t="s">
        <v>55</v>
      </c>
      <c r="H18" s="3">
        <v>15</v>
      </c>
      <c r="I18" t="s">
        <v>22</v>
      </c>
      <c r="N18" s="6">
        <v>14</v>
      </c>
      <c r="O18" s="7" t="s">
        <v>41</v>
      </c>
      <c r="P18">
        <f t="shared" ref="P18:P34" si="0">N18-H4</f>
        <v>13</v>
      </c>
    </row>
    <row r="19" spans="5:22">
      <c r="E19" s="3">
        <v>16</v>
      </c>
      <c r="F19" s="3" t="s">
        <v>56</v>
      </c>
      <c r="H19" s="3">
        <v>16</v>
      </c>
      <c r="I19" t="s">
        <v>23</v>
      </c>
      <c r="N19" s="6">
        <v>15</v>
      </c>
      <c r="O19" s="7" t="s">
        <v>42</v>
      </c>
      <c r="P19">
        <f t="shared" si="0"/>
        <v>13</v>
      </c>
    </row>
    <row r="20" spans="5:22">
      <c r="E20" s="3">
        <v>17</v>
      </c>
      <c r="F20" s="3" t="s">
        <v>57</v>
      </c>
      <c r="H20" s="3">
        <v>17</v>
      </c>
      <c r="I20" t="s">
        <v>24</v>
      </c>
      <c r="N20" s="6">
        <v>16</v>
      </c>
      <c r="O20" s="7" t="s">
        <v>43</v>
      </c>
      <c r="P20">
        <f t="shared" si="0"/>
        <v>13</v>
      </c>
    </row>
    <row r="21" spans="5:22">
      <c r="H21" s="3"/>
      <c r="N21" s="6">
        <v>17</v>
      </c>
      <c r="O21" s="7" t="s">
        <v>44</v>
      </c>
      <c r="P21">
        <f t="shared" si="0"/>
        <v>13</v>
      </c>
    </row>
    <row r="22" spans="5:22">
      <c r="H22" s="3"/>
      <c r="N22" s="6">
        <v>18</v>
      </c>
      <c r="O22" s="7" t="s">
        <v>45</v>
      </c>
      <c r="P22">
        <f t="shared" si="0"/>
        <v>13</v>
      </c>
    </row>
    <row r="23" spans="5:22">
      <c r="N23" s="11">
        <v>19</v>
      </c>
      <c r="O23" s="12" t="s">
        <v>46</v>
      </c>
      <c r="P23">
        <f t="shared" si="0"/>
        <v>13</v>
      </c>
    </row>
    <row r="24" spans="5:22">
      <c r="N24" s="6">
        <v>20</v>
      </c>
      <c r="O24" s="7" t="s">
        <v>47</v>
      </c>
      <c r="P24">
        <f t="shared" si="0"/>
        <v>13</v>
      </c>
    </row>
    <row r="25" spans="5:22">
      <c r="N25" s="6">
        <v>21</v>
      </c>
      <c r="O25" s="7" t="s">
        <v>48</v>
      </c>
      <c r="P25">
        <f t="shared" si="0"/>
        <v>13</v>
      </c>
    </row>
    <row r="26" spans="5:22">
      <c r="N26" s="6">
        <v>22</v>
      </c>
      <c r="O26" s="7" t="s">
        <v>49</v>
      </c>
      <c r="P26">
        <f t="shared" si="0"/>
        <v>13</v>
      </c>
    </row>
    <row r="27" spans="5:22">
      <c r="N27" s="6">
        <v>23</v>
      </c>
      <c r="O27" s="7" t="s">
        <v>50</v>
      </c>
      <c r="P27">
        <f t="shared" si="0"/>
        <v>13</v>
      </c>
    </row>
    <row r="28" spans="5:22">
      <c r="N28" s="6">
        <v>24</v>
      </c>
      <c r="O28" s="7" t="s">
        <v>51</v>
      </c>
      <c r="P28">
        <f t="shared" si="0"/>
        <v>13</v>
      </c>
    </row>
    <row r="29" spans="5:22">
      <c r="N29" s="6">
        <v>25</v>
      </c>
      <c r="O29" s="7" t="s">
        <v>52</v>
      </c>
      <c r="P29">
        <f t="shared" si="0"/>
        <v>13</v>
      </c>
    </row>
    <row r="30" spans="5:22">
      <c r="N30" s="11">
        <v>26</v>
      </c>
      <c r="O30" s="12" t="s">
        <v>53</v>
      </c>
      <c r="P30">
        <f t="shared" si="0"/>
        <v>13</v>
      </c>
    </row>
    <row r="31" spans="5:22">
      <c r="N31" s="6">
        <v>27</v>
      </c>
      <c r="O31" s="7" t="s">
        <v>54</v>
      </c>
      <c r="P31">
        <f t="shared" si="0"/>
        <v>13</v>
      </c>
    </row>
    <row r="32" spans="5:22">
      <c r="N32" s="6">
        <v>28</v>
      </c>
      <c r="O32" s="7" t="s">
        <v>55</v>
      </c>
      <c r="P32">
        <f t="shared" si="0"/>
        <v>13</v>
      </c>
    </row>
    <row r="33" spans="14:16">
      <c r="N33" s="6">
        <v>29</v>
      </c>
      <c r="O33" s="7" t="s">
        <v>56</v>
      </c>
      <c r="P33">
        <f t="shared" si="0"/>
        <v>13</v>
      </c>
    </row>
    <row r="34" spans="14:16">
      <c r="N34" s="6">
        <v>30</v>
      </c>
      <c r="O34" s="7" t="s">
        <v>57</v>
      </c>
      <c r="P34">
        <f t="shared" si="0"/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B506-864E-4EE6-97F4-326B245FD060}">
  <dimension ref="B2:S26"/>
  <sheetViews>
    <sheetView workbookViewId="0">
      <selection activeCell="T12" sqref="T12"/>
    </sheetView>
  </sheetViews>
  <sheetFormatPr defaultRowHeight="14.4"/>
  <cols>
    <col min="8" max="9" width="12" bestFit="1" customWidth="1"/>
    <col min="11" max="11" width="10.33203125" customWidth="1"/>
    <col min="15" max="15" width="8.77734375" customWidth="1"/>
  </cols>
  <sheetData>
    <row r="2" spans="2:17">
      <c r="B2" s="1" t="s">
        <v>59</v>
      </c>
      <c r="C2" s="2" t="s">
        <v>4</v>
      </c>
      <c r="D2" s="2" t="s">
        <v>66</v>
      </c>
      <c r="E2" s="2" t="s">
        <v>83</v>
      </c>
      <c r="F2" s="2" t="s">
        <v>107</v>
      </c>
      <c r="H2" s="2" t="s">
        <v>68</v>
      </c>
      <c r="I2" s="2" t="s">
        <v>67</v>
      </c>
      <c r="K2" s="1"/>
      <c r="L2" s="2" t="s">
        <v>107</v>
      </c>
      <c r="O2" s="1" t="s">
        <v>65</v>
      </c>
    </row>
    <row r="3" spans="2:17">
      <c r="B3" s="3">
        <v>0</v>
      </c>
      <c r="C3" s="3" t="s">
        <v>7</v>
      </c>
      <c r="D3" s="5">
        <f>(19+10/16+4+10/16)*25.4</f>
        <v>615.94999999999993</v>
      </c>
      <c r="E3" s="5">
        <v>1588</v>
      </c>
      <c r="F3" s="3">
        <f>$L$3</f>
        <v>8.8909999999999998E-4</v>
      </c>
      <c r="H3">
        <f>PI()*(E3/2000000)^2</f>
        <v>1.9805731061585347E-6</v>
      </c>
      <c r="I3" s="14">
        <f>8*$L$3*(D3/1000)/(H3*(E3/2000000)^2)</f>
        <v>3508764128.5271177</v>
      </c>
      <c r="J3" s="14">
        <f>I3+P3*10^9</f>
        <v>3508764128.5271177</v>
      </c>
      <c r="K3" t="s">
        <v>61</v>
      </c>
      <c r="L3" s="19">
        <v>8.8909999999999998E-4</v>
      </c>
      <c r="M3" t="s">
        <v>81</v>
      </c>
      <c r="O3" t="s">
        <v>5</v>
      </c>
      <c r="P3" s="4">
        <v>0</v>
      </c>
      <c r="Q3" t="s">
        <v>95</v>
      </c>
    </row>
    <row r="4" spans="2:17">
      <c r="B4" s="3">
        <v>1</v>
      </c>
      <c r="C4" s="3" t="s">
        <v>9</v>
      </c>
      <c r="D4" s="5">
        <f>6.36+(25.13-0.794)/2</f>
        <v>18.527999999999999</v>
      </c>
      <c r="E4" s="5">
        <v>794</v>
      </c>
      <c r="F4" s="3">
        <f t="shared" ref="F4:F9" si="0">$L$3</f>
        <v>8.8909999999999998E-4</v>
      </c>
      <c r="H4">
        <f>PI()*(E4/2000000)^2</f>
        <v>4.9514327653963368E-7</v>
      </c>
      <c r="I4" s="14">
        <f>8*$L$3*(D4/1000)/(H4*(E4/2000000)^2)</f>
        <v>1688718416.0623541</v>
      </c>
      <c r="K4" t="s">
        <v>62</v>
      </c>
      <c r="L4" s="19">
        <v>8.8909999999999998E-4</v>
      </c>
      <c r="M4" t="s">
        <v>81</v>
      </c>
      <c r="O4" t="s">
        <v>6</v>
      </c>
      <c r="P4" s="4">
        <v>0</v>
      </c>
      <c r="Q4" t="s">
        <v>96</v>
      </c>
    </row>
    <row r="5" spans="2:17">
      <c r="B5" s="3">
        <v>2</v>
      </c>
      <c r="C5" s="3" t="s">
        <v>10</v>
      </c>
      <c r="D5" s="5">
        <f>6.36+(25.13-0.794)/2</f>
        <v>18.527999999999999</v>
      </c>
      <c r="E5" s="5">
        <v>794</v>
      </c>
      <c r="F5" s="3">
        <f t="shared" si="0"/>
        <v>8.8909999999999998E-4</v>
      </c>
      <c r="H5">
        <f t="shared" ref="H5:H20" si="1">PI()*(E5/2000000)^2</f>
        <v>4.9514327653963368E-7</v>
      </c>
      <c r="I5" s="14">
        <f t="shared" ref="I5:I9" si="2">8*$L$3*(D5/1000)/(H5*(E5/2000000)^2)</f>
        <v>1688718416.0623541</v>
      </c>
      <c r="K5" t="s">
        <v>63</v>
      </c>
      <c r="L5" s="19">
        <v>8.8909999999999998E-4</v>
      </c>
      <c r="M5" t="s">
        <v>81</v>
      </c>
    </row>
    <row r="6" spans="2:17">
      <c r="B6" s="3">
        <v>3</v>
      </c>
      <c r="C6" s="3" t="s">
        <v>13</v>
      </c>
      <c r="D6" s="5">
        <f>89.14+(13.76-0.794)/2</f>
        <v>95.623000000000005</v>
      </c>
      <c r="E6" s="5">
        <v>794</v>
      </c>
      <c r="F6" s="3">
        <f t="shared" si="0"/>
        <v>8.8909999999999998E-4</v>
      </c>
      <c r="H6">
        <f t="shared" si="1"/>
        <v>4.9514327653963368E-7</v>
      </c>
      <c r="I6" s="14">
        <f t="shared" si="2"/>
        <v>8715475016.1447811</v>
      </c>
      <c r="O6" s="1" t="s">
        <v>112</v>
      </c>
    </row>
    <row r="7" spans="2:17">
      <c r="B7" s="3">
        <v>4</v>
      </c>
      <c r="C7" s="3" t="s">
        <v>14</v>
      </c>
      <c r="D7" s="5">
        <f t="shared" ref="D7:D9" si="3">89.14+(13.76-0.794)/2</f>
        <v>95.623000000000005</v>
      </c>
      <c r="E7" s="5">
        <v>794</v>
      </c>
      <c r="F7" s="3">
        <f t="shared" si="0"/>
        <v>8.8909999999999998E-4</v>
      </c>
      <c r="H7">
        <f t="shared" si="1"/>
        <v>4.9514327653963368E-7</v>
      </c>
      <c r="I7" s="14">
        <f t="shared" si="2"/>
        <v>8715475016.1447811</v>
      </c>
      <c r="K7" s="1"/>
      <c r="L7" s="2" t="s">
        <v>111</v>
      </c>
      <c r="O7" t="s">
        <v>113</v>
      </c>
      <c r="P7">
        <f>25.4 * (18 + 13 / 16)</f>
        <v>477.83749999999998</v>
      </c>
      <c r="Q7" t="s">
        <v>82</v>
      </c>
    </row>
    <row r="8" spans="2:17">
      <c r="B8" s="3">
        <v>5</v>
      </c>
      <c r="C8" s="3" t="s">
        <v>15</v>
      </c>
      <c r="D8" s="5">
        <f t="shared" si="3"/>
        <v>95.623000000000005</v>
      </c>
      <c r="E8" s="5">
        <v>794</v>
      </c>
      <c r="F8" s="3">
        <f t="shared" si="0"/>
        <v>8.8909999999999998E-4</v>
      </c>
      <c r="H8">
        <f t="shared" si="1"/>
        <v>4.9514327653963368E-7</v>
      </c>
      <c r="I8" s="14">
        <f t="shared" si="2"/>
        <v>8715475016.1447811</v>
      </c>
      <c r="K8" t="s">
        <v>61</v>
      </c>
      <c r="L8" s="5">
        <v>998.19</v>
      </c>
      <c r="M8" t="s">
        <v>109</v>
      </c>
      <c r="O8" t="s">
        <v>114</v>
      </c>
      <c r="P8">
        <f>25.4 * 5.125</f>
        <v>130.17499999999998</v>
      </c>
      <c r="Q8" t="s">
        <v>82</v>
      </c>
    </row>
    <row r="9" spans="2:17">
      <c r="B9" s="3">
        <v>6</v>
      </c>
      <c r="C9" s="3" t="s">
        <v>16</v>
      </c>
      <c r="D9" s="5">
        <f t="shared" si="3"/>
        <v>95.623000000000005</v>
      </c>
      <c r="E9" s="5">
        <v>794</v>
      </c>
      <c r="F9" s="3">
        <f t="shared" si="0"/>
        <v>8.8909999999999998E-4</v>
      </c>
      <c r="H9">
        <f t="shared" si="1"/>
        <v>4.9514327653963368E-7</v>
      </c>
      <c r="I9" s="14">
        <f t="shared" si="2"/>
        <v>8715475016.1447811</v>
      </c>
      <c r="K9" t="s">
        <v>62</v>
      </c>
      <c r="L9" s="5">
        <v>998.15</v>
      </c>
      <c r="M9" t="s">
        <v>109</v>
      </c>
    </row>
    <row r="10" spans="2:17">
      <c r="B10" s="3">
        <v>7</v>
      </c>
      <c r="C10" s="3" t="s">
        <v>8</v>
      </c>
      <c r="D10" s="5">
        <f>(24+5/16+5+9/16)*25.4</f>
        <v>758.82499999999993</v>
      </c>
      <c r="E10" s="5">
        <v>1588</v>
      </c>
      <c r="F10" s="3">
        <f>$L$4</f>
        <v>8.8909999999999998E-4</v>
      </c>
      <c r="H10">
        <f t="shared" si="1"/>
        <v>1.9805731061585347E-6</v>
      </c>
      <c r="I10" s="14">
        <f>8*$L$4*(D10/1000)/(H10*(E10/2000000)^2)</f>
        <v>4322652715.0411396</v>
      </c>
      <c r="J10" s="14">
        <f>I10+P4*10^9</f>
        <v>4322652715.0411396</v>
      </c>
      <c r="K10" t="s">
        <v>63</v>
      </c>
      <c r="L10" s="5">
        <v>998.15</v>
      </c>
      <c r="M10" t="s">
        <v>109</v>
      </c>
    </row>
    <row r="11" spans="2:17">
      <c r="B11" s="3">
        <v>8</v>
      </c>
      <c r="C11" s="3" t="s">
        <v>11</v>
      </c>
      <c r="D11" s="5">
        <f>6.36+(25.13-0.794)/2</f>
        <v>18.527999999999999</v>
      </c>
      <c r="E11" s="5">
        <v>794</v>
      </c>
      <c r="F11" s="3">
        <f t="shared" ref="F11:F16" si="4">$L$4</f>
        <v>8.8909999999999998E-4</v>
      </c>
      <c r="H11">
        <f t="shared" si="1"/>
        <v>4.9514327653963368E-7</v>
      </c>
      <c r="I11" s="14">
        <f t="shared" ref="I11:I16" si="5">8*$L$4*(D11/1000)/(H11*(E11/2000000)^2)</f>
        <v>1688718416.0623541</v>
      </c>
    </row>
    <row r="12" spans="2:17">
      <c r="B12" s="3">
        <v>9</v>
      </c>
      <c r="C12" s="3" t="s">
        <v>12</v>
      </c>
      <c r="D12" s="5">
        <f>6.36+(25.13-0.794)/2</f>
        <v>18.527999999999999</v>
      </c>
      <c r="E12" s="5">
        <v>794</v>
      </c>
      <c r="F12" s="3">
        <f t="shared" si="4"/>
        <v>8.8909999999999998E-4</v>
      </c>
      <c r="H12">
        <f t="shared" si="1"/>
        <v>4.9514327653963368E-7</v>
      </c>
      <c r="I12" s="14">
        <f t="shared" si="5"/>
        <v>1688718416.0623541</v>
      </c>
    </row>
    <row r="13" spans="2:17">
      <c r="B13" s="3">
        <v>10</v>
      </c>
      <c r="C13" s="3" t="s">
        <v>17</v>
      </c>
      <c r="D13" s="5">
        <f>89.14+(13.76-0.794)/2</f>
        <v>95.623000000000005</v>
      </c>
      <c r="E13" s="5">
        <v>794</v>
      </c>
      <c r="F13" s="3">
        <f t="shared" si="4"/>
        <v>8.8909999999999998E-4</v>
      </c>
      <c r="H13">
        <f t="shared" si="1"/>
        <v>4.9514327653963368E-7</v>
      </c>
      <c r="I13" s="14">
        <f t="shared" si="5"/>
        <v>8715475016.1447811</v>
      </c>
    </row>
    <row r="14" spans="2:17">
      <c r="B14" s="3">
        <v>11</v>
      </c>
      <c r="C14" s="3" t="s">
        <v>18</v>
      </c>
      <c r="D14" s="5">
        <f t="shared" ref="D14:D16" si="6">89.14+(13.76-0.794)/2</f>
        <v>95.623000000000005</v>
      </c>
      <c r="E14" s="5">
        <v>794</v>
      </c>
      <c r="F14" s="3">
        <f t="shared" si="4"/>
        <v>8.8909999999999998E-4</v>
      </c>
      <c r="H14">
        <f t="shared" si="1"/>
        <v>4.9514327653963368E-7</v>
      </c>
      <c r="I14" s="14">
        <f t="shared" si="5"/>
        <v>8715475016.1447811</v>
      </c>
      <c r="L14" s="18"/>
      <c r="M14" t="s">
        <v>107</v>
      </c>
    </row>
    <row r="15" spans="2:17">
      <c r="B15" s="3">
        <v>12</v>
      </c>
      <c r="C15" s="3" t="s">
        <v>19</v>
      </c>
      <c r="D15" s="5">
        <f t="shared" si="6"/>
        <v>95.623000000000005</v>
      </c>
      <c r="E15" s="5">
        <v>794</v>
      </c>
      <c r="F15" s="3">
        <f t="shared" si="4"/>
        <v>8.8909999999999998E-4</v>
      </c>
      <c r="H15">
        <f t="shared" si="1"/>
        <v>4.9514327653963368E-7</v>
      </c>
      <c r="I15" s="14">
        <f t="shared" si="5"/>
        <v>8715475016.1447811</v>
      </c>
      <c r="L15" s="8" t="s">
        <v>115</v>
      </c>
      <c r="M15" s="5">
        <v>1.0020000000000001E-3</v>
      </c>
      <c r="N15" t="s">
        <v>81</v>
      </c>
    </row>
    <row r="16" spans="2:17">
      <c r="B16" s="3">
        <v>13</v>
      </c>
      <c r="C16" s="3" t="s">
        <v>20</v>
      </c>
      <c r="D16" s="5">
        <f t="shared" si="6"/>
        <v>95.623000000000005</v>
      </c>
      <c r="E16" s="5">
        <v>794</v>
      </c>
      <c r="F16" s="3">
        <f t="shared" si="4"/>
        <v>8.8909999999999998E-4</v>
      </c>
      <c r="H16">
        <f t="shared" si="1"/>
        <v>4.9514327653963368E-7</v>
      </c>
      <c r="I16" s="14">
        <f t="shared" si="5"/>
        <v>8715475016.1447811</v>
      </c>
      <c r="L16" s="8" t="s">
        <v>116</v>
      </c>
      <c r="M16" s="5">
        <v>9.5500000000000001E-4</v>
      </c>
      <c r="N16" t="s">
        <v>81</v>
      </c>
    </row>
    <row r="17" spans="2:19">
      <c r="B17" s="3">
        <v>14</v>
      </c>
      <c r="C17" s="3" t="s">
        <v>21</v>
      </c>
      <c r="D17" s="5">
        <f>25.4*(24+6/16+7+12/16)+27.5+20.5</f>
        <v>863.97499999999991</v>
      </c>
      <c r="E17" s="5">
        <v>794</v>
      </c>
      <c r="F17" s="3">
        <f>$L$5</f>
        <v>8.8909999999999998E-4</v>
      </c>
      <c r="H17">
        <f t="shared" si="1"/>
        <v>4.9514327653963368E-7</v>
      </c>
      <c r="I17" s="14">
        <f>8*$L$5*(D17/1000)/(H17*(E17/2000000)^2)</f>
        <v>78746248570.675323</v>
      </c>
      <c r="L17" s="8" t="s">
        <v>117</v>
      </c>
      <c r="M17" s="19">
        <v>8.8909999999999998E-4</v>
      </c>
      <c r="N17" t="s">
        <v>81</v>
      </c>
    </row>
    <row r="18" spans="2:19">
      <c r="B18" s="3">
        <v>15</v>
      </c>
      <c r="C18" s="3" t="s">
        <v>22</v>
      </c>
      <c r="D18" s="5">
        <f>25.4*(24+6/16+7+12/16)+27.5+20.5</f>
        <v>863.97499999999991</v>
      </c>
      <c r="E18" s="5">
        <v>794</v>
      </c>
      <c r="F18" s="3">
        <f t="shared" ref="F18:F20" si="7">$L$5</f>
        <v>8.8909999999999998E-4</v>
      </c>
      <c r="H18">
        <f t="shared" si="1"/>
        <v>4.9514327653963368E-7</v>
      </c>
      <c r="I18" s="14">
        <f t="shared" ref="I18:I19" si="8">8*$L$5*(D18/1000)/(H18*(E18/2000000)^2)</f>
        <v>78746248570.675323</v>
      </c>
      <c r="P18" s="3"/>
    </row>
    <row r="19" spans="2:19">
      <c r="B19" s="3">
        <v>16</v>
      </c>
      <c r="C19" s="3" t="s">
        <v>23</v>
      </c>
      <c r="D19" s="5">
        <f>25.4*(24+6/16+7+12/16)+27.5+20.5</f>
        <v>863.97499999999991</v>
      </c>
      <c r="E19" s="5">
        <v>794</v>
      </c>
      <c r="F19" s="3">
        <f t="shared" si="7"/>
        <v>8.8909999999999998E-4</v>
      </c>
      <c r="H19">
        <f t="shared" si="1"/>
        <v>4.9514327653963368E-7</v>
      </c>
      <c r="I19" s="14">
        <f t="shared" si="8"/>
        <v>78746248570.675323</v>
      </c>
      <c r="N19" t="s">
        <v>92</v>
      </c>
      <c r="O19">
        <v>3.9E-2</v>
      </c>
      <c r="P19" t="s">
        <v>94</v>
      </c>
    </row>
    <row r="20" spans="2:19">
      <c r="B20" s="3">
        <v>17</v>
      </c>
      <c r="C20" s="3" t="s">
        <v>24</v>
      </c>
      <c r="D20" s="5">
        <f>25.4*(24+6/16+7+12/16)+27.5+20.5</f>
        <v>863.97499999999991</v>
      </c>
      <c r="E20" s="5">
        <v>794</v>
      </c>
      <c r="F20" s="3">
        <f t="shared" si="7"/>
        <v>8.8909999999999998E-4</v>
      </c>
      <c r="H20">
        <f t="shared" si="1"/>
        <v>4.9514327653963368E-7</v>
      </c>
      <c r="I20" s="14">
        <f>8*$L$5*(D20/1000)/(H20*(E20/2000000)^2)</f>
        <v>78746248570.675323</v>
      </c>
      <c r="N20" t="s">
        <v>91</v>
      </c>
      <c r="O20" s="14">
        <f>8*$L$5*(D20/1000)/(H20*(E20/2000000)^2)</f>
        <v>78746248570.675323</v>
      </c>
    </row>
    <row r="21" spans="2:19">
      <c r="B21" s="3"/>
      <c r="D21" t="s">
        <v>82</v>
      </c>
      <c r="E21" t="s">
        <v>84</v>
      </c>
      <c r="F21" t="s">
        <v>81</v>
      </c>
      <c r="H21" t="s">
        <v>85</v>
      </c>
      <c r="I21" t="s">
        <v>86</v>
      </c>
      <c r="N21" t="s">
        <v>92</v>
      </c>
      <c r="O21">
        <f>O19/((100^3)*60)</f>
        <v>6.5000000000000003E-10</v>
      </c>
      <c r="P21" t="s">
        <v>88</v>
      </c>
    </row>
    <row r="22" spans="2:19" ht="15.6">
      <c r="B22" s="3"/>
      <c r="I22" t="s">
        <v>87</v>
      </c>
      <c r="N22" s="16" t="s">
        <v>93</v>
      </c>
      <c r="O22" s="15">
        <f>O21*O20</f>
        <v>51.185061570938963</v>
      </c>
      <c r="P22" t="s">
        <v>89</v>
      </c>
      <c r="Q22" s="17" t="s">
        <v>90</v>
      </c>
      <c r="R22" s="15">
        <f>O22/100</f>
        <v>0.51185061570938961</v>
      </c>
      <c r="S22" t="s">
        <v>80</v>
      </c>
    </row>
    <row r="24" spans="2:19">
      <c r="N24" t="s">
        <v>103</v>
      </c>
      <c r="O24" t="s">
        <v>104</v>
      </c>
      <c r="P24" t="s">
        <v>105</v>
      </c>
      <c r="Q24" t="s">
        <v>106</v>
      </c>
    </row>
    <row r="25" spans="2:19">
      <c r="N25">
        <v>1000</v>
      </c>
      <c r="O25">
        <v>9.81</v>
      </c>
      <c r="P25">
        <f>(18+13/16+5.125)*25.4/1000</f>
        <v>0.60801249999999996</v>
      </c>
      <c r="Q25">
        <f>N25*O25*P25/100</f>
        <v>59.646026249999998</v>
      </c>
    </row>
    <row r="26" spans="2:19">
      <c r="N26" t="s">
        <v>109</v>
      </c>
      <c r="O26" t="s">
        <v>110</v>
      </c>
      <c r="P26" t="s">
        <v>108</v>
      </c>
      <c r="Q26" t="s">
        <v>80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CBCB-24B0-41BF-8CA9-C2B1ABFF4985}">
  <dimension ref="B2:E4"/>
  <sheetViews>
    <sheetView workbookViewId="0">
      <selection activeCell="C5" sqref="C5"/>
    </sheetView>
  </sheetViews>
  <sheetFormatPr defaultRowHeight="14.4"/>
  <sheetData>
    <row r="2" spans="2:5">
      <c r="B2" s="1" t="s">
        <v>72</v>
      </c>
      <c r="C2" s="1" t="s">
        <v>73</v>
      </c>
    </row>
    <row r="3" spans="2:5">
      <c r="B3" s="3" t="s">
        <v>74</v>
      </c>
      <c r="C3">
        <v>100</v>
      </c>
      <c r="D3" t="s">
        <v>80</v>
      </c>
      <c r="E3" t="s">
        <v>97</v>
      </c>
    </row>
    <row r="4" spans="2:5">
      <c r="B4" s="3" t="s">
        <v>75</v>
      </c>
      <c r="C4">
        <v>100</v>
      </c>
      <c r="D4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3AFD-1F92-4F41-9CD2-7E1BAAA4FA9C}">
  <dimension ref="B1:H23"/>
  <sheetViews>
    <sheetView tabSelected="1" workbookViewId="0">
      <selection activeCell="E21" sqref="E21"/>
    </sheetView>
  </sheetViews>
  <sheetFormatPr defaultRowHeight="14.4"/>
  <cols>
    <col min="3" max="3" width="12" bestFit="1" customWidth="1"/>
  </cols>
  <sheetData>
    <row r="1" spans="2:8">
      <c r="B1" s="1" t="s">
        <v>121</v>
      </c>
    </row>
    <row r="2" spans="2:8">
      <c r="B2" s="20" t="s">
        <v>118</v>
      </c>
      <c r="C2" s="21" t="s">
        <v>119</v>
      </c>
      <c r="D2" s="22" t="s">
        <v>120</v>
      </c>
      <c r="E2" s="21" t="s">
        <v>119</v>
      </c>
      <c r="F2" s="22" t="s">
        <v>120</v>
      </c>
      <c r="G2" s="21" t="s">
        <v>119</v>
      </c>
      <c r="H2" s="22" t="s">
        <v>120</v>
      </c>
    </row>
    <row r="3" spans="2:8">
      <c r="B3" s="20">
        <v>100</v>
      </c>
      <c r="C3" s="21">
        <v>8</v>
      </c>
      <c r="D3" s="22">
        <v>27.8</v>
      </c>
      <c r="E3" s="21">
        <v>8</v>
      </c>
      <c r="F3" s="22">
        <v>27.12</v>
      </c>
      <c r="G3" s="21">
        <v>8</v>
      </c>
      <c r="H3" s="22">
        <v>27.9</v>
      </c>
    </row>
    <row r="4" spans="2:8">
      <c r="B4" s="20">
        <v>150</v>
      </c>
      <c r="C4" s="21">
        <v>8</v>
      </c>
      <c r="D4" s="22">
        <v>18</v>
      </c>
      <c r="E4" s="21">
        <v>8</v>
      </c>
      <c r="F4" s="22">
        <v>19.05</v>
      </c>
      <c r="G4" s="21">
        <v>8</v>
      </c>
      <c r="H4" s="22">
        <v>18.96</v>
      </c>
    </row>
    <row r="5" spans="2:8">
      <c r="B5" s="23">
        <v>200</v>
      </c>
      <c r="C5" s="24">
        <v>8</v>
      </c>
      <c r="D5" s="25">
        <v>13.4</v>
      </c>
      <c r="E5" s="24">
        <v>8</v>
      </c>
      <c r="F5" s="25">
        <v>13.8</v>
      </c>
      <c r="G5" s="24">
        <v>8</v>
      </c>
      <c r="H5" s="25">
        <v>13.9</v>
      </c>
    </row>
    <row r="7" spans="2:8">
      <c r="B7" s="1" t="s">
        <v>122</v>
      </c>
    </row>
    <row r="8" spans="2:8">
      <c r="B8" s="20" t="s">
        <v>118</v>
      </c>
      <c r="C8" s="20" t="s">
        <v>123</v>
      </c>
      <c r="D8" s="20" t="s">
        <v>124</v>
      </c>
      <c r="E8" s="20" t="s">
        <v>125</v>
      </c>
      <c r="F8" s="20" t="s">
        <v>126</v>
      </c>
    </row>
    <row r="9" spans="2:8">
      <c r="B9" s="20">
        <v>100</v>
      </c>
      <c r="C9" s="20">
        <f>60*C3/D3</f>
        <v>17.266187050359711</v>
      </c>
      <c r="D9" s="20">
        <f>60*E3/F3</f>
        <v>17.699115044247787</v>
      </c>
      <c r="E9" s="20">
        <f>60*G3/H3</f>
        <v>17.20430107526882</v>
      </c>
      <c r="F9" s="20">
        <f>AVERAGE(C9:E9)</f>
        <v>17.389867723292102</v>
      </c>
      <c r="G9" s="20" t="s">
        <v>94</v>
      </c>
    </row>
    <row r="10" spans="2:8">
      <c r="B10" s="20">
        <v>150</v>
      </c>
      <c r="C10" s="20">
        <f t="shared" ref="C10:C11" si="0">60*C4/D4</f>
        <v>26.666666666666668</v>
      </c>
      <c r="D10" s="20">
        <f t="shared" ref="D10:D11" si="1">60*E4/F4</f>
        <v>25.196850393700785</v>
      </c>
      <c r="E10" s="20">
        <f t="shared" ref="E10:E11" si="2">60*G4/H4</f>
        <v>25.316455696202532</v>
      </c>
      <c r="F10" s="20">
        <f t="shared" ref="F10:F11" si="3">AVERAGE(C10:E10)</f>
        <v>25.726657585523327</v>
      </c>
      <c r="G10" s="20" t="s">
        <v>94</v>
      </c>
    </row>
    <row r="11" spans="2:8">
      <c r="B11" s="20">
        <v>200</v>
      </c>
      <c r="C11" s="20">
        <f t="shared" si="0"/>
        <v>35.820895522388057</v>
      </c>
      <c r="D11" s="20">
        <f t="shared" si="1"/>
        <v>34.782608695652172</v>
      </c>
      <c r="E11" s="20">
        <f t="shared" si="2"/>
        <v>34.532374100719423</v>
      </c>
      <c r="F11" s="20">
        <f t="shared" si="3"/>
        <v>35.045292772919886</v>
      </c>
      <c r="G11" s="20" t="s">
        <v>94</v>
      </c>
    </row>
    <row r="13" spans="2:8">
      <c r="B13" s="1" t="s">
        <v>127</v>
      </c>
    </row>
    <row r="14" spans="2:8">
      <c r="B14" t="s">
        <v>128</v>
      </c>
      <c r="C14" t="s">
        <v>129</v>
      </c>
    </row>
    <row r="15" spans="2:8">
      <c r="B15">
        <f>100*100</f>
        <v>10000</v>
      </c>
      <c r="C15">
        <f>(10^-6)*C3/D3</f>
        <v>2.8776978417266184E-7</v>
      </c>
    </row>
    <row r="16" spans="2:8">
      <c r="B16">
        <f>150*100</f>
        <v>15000</v>
      </c>
      <c r="C16">
        <f t="shared" ref="C16:C17" si="4">(10^-6)*C4/D4</f>
        <v>4.4444444444444444E-7</v>
      </c>
    </row>
    <row r="17" spans="2:3">
      <c r="B17">
        <f>200*100</f>
        <v>20000</v>
      </c>
      <c r="C17">
        <f t="shared" si="4"/>
        <v>5.9701492537313431E-7</v>
      </c>
    </row>
    <row r="18" spans="2:3">
      <c r="B18">
        <f t="shared" ref="B16:D21" si="5">100*100</f>
        <v>10000</v>
      </c>
      <c r="C18">
        <f>(10^-6)*E3/F3</f>
        <v>2.9498525073746309E-7</v>
      </c>
    </row>
    <row r="19" spans="2:3">
      <c r="B19">
        <f t="shared" ref="B19:B25" si="6">150*100</f>
        <v>15000</v>
      </c>
      <c r="C19">
        <f>(10^-6)*E4/F4</f>
        <v>4.1994750656167978E-7</v>
      </c>
    </row>
    <row r="20" spans="2:3">
      <c r="B20">
        <f t="shared" ref="B20:B23" si="7">200*100</f>
        <v>20000</v>
      </c>
      <c r="C20">
        <f t="shared" ref="C19:C21" si="8">(10^-6)*E5/F5</f>
        <v>5.7971014492753622E-7</v>
      </c>
    </row>
    <row r="21" spans="2:3">
      <c r="B21">
        <f t="shared" si="5"/>
        <v>10000</v>
      </c>
      <c r="C21">
        <f>(10^-6)*G3/H3</f>
        <v>2.8673835125448029E-7</v>
      </c>
    </row>
    <row r="22" spans="2:3">
      <c r="B22">
        <f t="shared" si="6"/>
        <v>15000</v>
      </c>
      <c r="C22">
        <f t="shared" ref="C22:C23" si="9">(10^-6)*G4/H4</f>
        <v>4.2194092827004216E-7</v>
      </c>
    </row>
    <row r="23" spans="2:3">
      <c r="B23">
        <f t="shared" si="7"/>
        <v>20000</v>
      </c>
      <c r="C23">
        <f t="shared" si="9"/>
        <v>5.7553956834532368E-7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Unknown Variables </vt:lpstr>
      <vt:lpstr>Indexing</vt:lpstr>
      <vt:lpstr>Resistor Parameters</vt:lpstr>
      <vt:lpstr>Input</vt:lpstr>
      <vt:lpstr>Check Valve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Kurzenknabe, Caden</dc:creator>
  <cp:lastModifiedBy>Caden Kurzenknabe</cp:lastModifiedBy>
  <dcterms:created xsi:type="dcterms:W3CDTF">2026-09-08T22:23:48Z</dcterms:created>
  <dcterms:modified xsi:type="dcterms:W3CDTF">2026-10-04T01:50:50Z</dcterms:modified>
</cp:coreProperties>
</file>